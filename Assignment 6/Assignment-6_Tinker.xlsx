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liya\Documents\Symbi\PhyQC\"/>
    </mc:Choice>
  </mc:AlternateContent>
  <xr:revisionPtr revIDLastSave="0" documentId="13_ncr:1_{EC7F5F34-F027-4DC8-A6CA-4A7094430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" sheetId="1" r:id="rId1"/>
    <sheet name="Lookup" sheetId="4" r:id="rId2"/>
  </sheets>
  <calcPr calcId="191029"/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G3" i="1"/>
  <c r="H3" i="1" s="1"/>
  <c r="G4" i="1"/>
  <c r="H4" i="1" s="1"/>
  <c r="G5" i="1"/>
  <c r="H5" i="1" s="1"/>
  <c r="G6" i="1"/>
  <c r="H6" i="1" s="1"/>
  <c r="G2" i="1"/>
  <c r="H2" i="1" l="1"/>
  <c r="I2" i="1" s="1"/>
  <c r="J2" i="1" s="1"/>
  <c r="I6" i="1"/>
  <c r="J6" i="1" s="1"/>
  <c r="H7" i="1"/>
  <c r="I5" i="1"/>
  <c r="J5" i="1" s="1"/>
  <c r="G7" i="1"/>
  <c r="I4" i="1"/>
  <c r="J4" i="1" s="1"/>
  <c r="I3" i="1"/>
  <c r="J3" i="1" s="1"/>
  <c r="I9" i="1" l="1"/>
  <c r="K6" i="1"/>
  <c r="K3" i="1"/>
  <c r="K4" i="1"/>
  <c r="K5" i="1"/>
  <c r="I7" i="1"/>
  <c r="J7" i="1" l="1"/>
  <c r="K2" i="1"/>
  <c r="K7" i="1" s="1"/>
</calcChain>
</file>

<file path=xl/sharedStrings.xml><?xml version="1.0" encoding="utf-8"?>
<sst xmlns="http://schemas.openxmlformats.org/spreadsheetml/2006/main" count="32" uniqueCount="26">
  <si>
    <t>Product Name</t>
  </si>
  <si>
    <t>Unit Price (₹)</t>
  </si>
  <si>
    <t>Quantity</t>
  </si>
  <si>
    <t>Discount %</t>
  </si>
  <si>
    <t>GST %</t>
  </si>
  <si>
    <t>Gross Amount</t>
  </si>
  <si>
    <t>Discount Amount</t>
  </si>
  <si>
    <t>Net Amount</t>
  </si>
  <si>
    <t>GST Amount</t>
  </si>
  <si>
    <t>Total Price (₹)</t>
  </si>
  <si>
    <t>P001</t>
  </si>
  <si>
    <t>P002</t>
  </si>
  <si>
    <t>P003</t>
  </si>
  <si>
    <t>P004</t>
  </si>
  <si>
    <t>P005</t>
  </si>
  <si>
    <t>TOTAL</t>
  </si>
  <si>
    <t>Sunglasses</t>
  </si>
  <si>
    <t>Perfume</t>
  </si>
  <si>
    <t>Jacket</t>
  </si>
  <si>
    <t>Black Jeans</t>
  </si>
  <si>
    <t>White Sweatshirt</t>
  </si>
  <si>
    <t>Product_ID</t>
  </si>
  <si>
    <t>Order ID</t>
  </si>
  <si>
    <t>Product ID</t>
  </si>
  <si>
    <t>No. of Orders</t>
  </si>
  <si>
    <t>Highest GST amt.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</si>
</sst>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2" borderId="0" xfId="0" applyFont="1" applyFill="1"/>
    <xf numFmtId="164" fontId="0" fillId="2" borderId="0" xfId="0" applyNumberFormat="1" applyFill="1"/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5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 Graph Data Visual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Order!$B$1</c:f>
              <c:strCache>
                <c:ptCount val="1"/>
                <c:pt idx="0">
                  <c:v>Product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9-4236-BC6C-615F80811110}"/>
            </c:ext>
          </c:extLst>
        </c:ser>
        <c:ser>
          <c:idx val="1"/>
          <c:order val="1"/>
          <c:tx>
            <c:strRef>
              <c:f>Order!$C$1</c:f>
              <c:strCache>
                <c:ptCount val="1"/>
                <c:pt idx="0">
                  <c:v>Unit Price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Order!$C$2:$C$7</c:f>
              <c:numCache>
                <c:formatCode>General</c:formatCode>
                <c:ptCount val="6"/>
                <c:pt idx="0">
                  <c:v>500</c:v>
                </c:pt>
                <c:pt idx="1">
                  <c:v>750</c:v>
                </c:pt>
                <c:pt idx="2">
                  <c:v>1200</c:v>
                </c:pt>
                <c:pt idx="3">
                  <c:v>300</c:v>
                </c:pt>
                <c:pt idx="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9-4236-BC6C-615F80811110}"/>
            </c:ext>
          </c:extLst>
        </c:ser>
        <c:ser>
          <c:idx val="2"/>
          <c:order val="2"/>
          <c:tx>
            <c:strRef>
              <c:f>Order!$D$1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Order!$D$2:$D$7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9-4236-BC6C-615F80811110}"/>
            </c:ext>
          </c:extLst>
        </c:ser>
        <c:ser>
          <c:idx val="3"/>
          <c:order val="3"/>
          <c:tx>
            <c:strRef>
              <c:f>Order!$E$1</c:f>
              <c:strCache>
                <c:ptCount val="1"/>
                <c:pt idx="0">
                  <c:v>Discount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Order!$E$2:$E$7</c:f>
              <c:numCache>
                <c:formatCode>0%</c:formatCode>
                <c:ptCount val="6"/>
                <c:pt idx="0">
                  <c:v>0.1</c:v>
                </c:pt>
                <c:pt idx="1">
                  <c:v>0.05</c:v>
                </c:pt>
                <c:pt idx="2">
                  <c:v>0.15</c:v>
                </c:pt>
                <c:pt idx="3">
                  <c:v>0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69-4236-BC6C-615F80811110}"/>
            </c:ext>
          </c:extLst>
        </c:ser>
        <c:ser>
          <c:idx val="4"/>
          <c:order val="4"/>
          <c:tx>
            <c:strRef>
              <c:f>Order!$F$1</c:f>
              <c:strCache>
                <c:ptCount val="1"/>
                <c:pt idx="0">
                  <c:v>GST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Order!$F$2:$F$7</c:f>
              <c:numCache>
                <c:formatCode>0%</c:formatCode>
                <c:ptCount val="6"/>
                <c:pt idx="0">
                  <c:v>0.18</c:v>
                </c:pt>
                <c:pt idx="1">
                  <c:v>0.12</c:v>
                </c:pt>
                <c:pt idx="2">
                  <c:v>0.18</c:v>
                </c:pt>
                <c:pt idx="3">
                  <c:v>0.05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69-4236-BC6C-615F80811110}"/>
            </c:ext>
          </c:extLst>
        </c:ser>
        <c:ser>
          <c:idx val="5"/>
          <c:order val="5"/>
          <c:tx>
            <c:strRef>
              <c:f>Order!$G$1</c:f>
              <c:strCache>
                <c:ptCount val="1"/>
                <c:pt idx="0">
                  <c:v>Gross 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Order!$G$2:$G$7</c:f>
              <c:numCache>
                <c:formatCode>_ [$₹-4009]\ * #,##0.00_ ;_ [$₹-4009]\ * \-#,##0.00_ ;_ [$₹-4009]\ * "-"??_ ;_ @_ </c:formatCode>
                <c:ptCount val="6"/>
                <c:pt idx="0">
                  <c:v>1000</c:v>
                </c:pt>
                <c:pt idx="1">
                  <c:v>750</c:v>
                </c:pt>
                <c:pt idx="2">
                  <c:v>3600</c:v>
                </c:pt>
                <c:pt idx="3">
                  <c:v>1500</c:v>
                </c:pt>
                <c:pt idx="4">
                  <c:v>1900</c:v>
                </c:pt>
                <c:pt idx="5">
                  <c:v>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69-4236-BC6C-615F80811110}"/>
            </c:ext>
          </c:extLst>
        </c:ser>
        <c:ser>
          <c:idx val="6"/>
          <c:order val="6"/>
          <c:tx>
            <c:strRef>
              <c:f>Order!$H$1</c:f>
              <c:strCache>
                <c:ptCount val="1"/>
                <c:pt idx="0">
                  <c:v>Discount Amount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Order!$H$2:$H$7</c:f>
              <c:numCache>
                <c:formatCode>0.000</c:formatCode>
                <c:ptCount val="6"/>
                <c:pt idx="0">
                  <c:v>100</c:v>
                </c:pt>
                <c:pt idx="1">
                  <c:v>37.5</c:v>
                </c:pt>
                <c:pt idx="2">
                  <c:v>540</c:v>
                </c:pt>
                <c:pt idx="3">
                  <c:v>0</c:v>
                </c:pt>
                <c:pt idx="4">
                  <c:v>380</c:v>
                </c:pt>
                <c:pt idx="5">
                  <c:v>1057.5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69-4236-BC6C-615F80811110}"/>
            </c:ext>
          </c:extLst>
        </c:ser>
        <c:ser>
          <c:idx val="7"/>
          <c:order val="7"/>
          <c:tx>
            <c:strRef>
              <c:f>Order!$I$1</c:f>
              <c:strCache>
                <c:ptCount val="1"/>
                <c:pt idx="0">
                  <c:v>Net Amount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Order!$I$2:$I$7</c:f>
              <c:numCache>
                <c:formatCode>0.000</c:formatCode>
                <c:ptCount val="6"/>
                <c:pt idx="0">
                  <c:v>900</c:v>
                </c:pt>
                <c:pt idx="1">
                  <c:v>712.5</c:v>
                </c:pt>
                <c:pt idx="2">
                  <c:v>3060</c:v>
                </c:pt>
                <c:pt idx="3">
                  <c:v>1500</c:v>
                </c:pt>
                <c:pt idx="4">
                  <c:v>1520</c:v>
                </c:pt>
                <c:pt idx="5">
                  <c:v>7692.5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69-4236-BC6C-615F80811110}"/>
            </c:ext>
          </c:extLst>
        </c:ser>
        <c:ser>
          <c:idx val="8"/>
          <c:order val="8"/>
          <c:tx>
            <c:strRef>
              <c:f>Order!$J$1</c:f>
              <c:strCache>
                <c:ptCount val="1"/>
                <c:pt idx="0">
                  <c:v>GST Amount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Order!$J$2:$J$7</c:f>
              <c:numCache>
                <c:formatCode>0.000</c:formatCode>
                <c:ptCount val="6"/>
                <c:pt idx="0">
                  <c:v>162</c:v>
                </c:pt>
                <c:pt idx="1">
                  <c:v>85.5</c:v>
                </c:pt>
                <c:pt idx="2">
                  <c:v>550.79999999999995</c:v>
                </c:pt>
                <c:pt idx="3">
                  <c:v>75</c:v>
                </c:pt>
                <c:pt idx="4">
                  <c:v>182.4</c:v>
                </c:pt>
                <c:pt idx="5">
                  <c:v>1055.7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69-4236-BC6C-615F80811110}"/>
            </c:ext>
          </c:extLst>
        </c:ser>
        <c:ser>
          <c:idx val="9"/>
          <c:order val="9"/>
          <c:tx>
            <c:strRef>
              <c:f>Order!$K$1</c:f>
              <c:strCache>
                <c:ptCount val="1"/>
                <c:pt idx="0">
                  <c:v>Total Price (₹)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Order!$K$2:$K$7</c:f>
              <c:numCache>
                <c:formatCode>0.000</c:formatCode>
                <c:ptCount val="6"/>
                <c:pt idx="0">
                  <c:v>1062</c:v>
                </c:pt>
                <c:pt idx="1">
                  <c:v>798</c:v>
                </c:pt>
                <c:pt idx="2">
                  <c:v>3610.8</c:v>
                </c:pt>
                <c:pt idx="3">
                  <c:v>1575</c:v>
                </c:pt>
                <c:pt idx="4">
                  <c:v>1702.4</c:v>
                </c:pt>
                <c:pt idx="5">
                  <c:v>8748.2000000000007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69-4236-BC6C-615F8081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4280880"/>
        <c:axId val="1344256400"/>
        <c:axId val="0"/>
      </c:bar3DChart>
      <c:catAx>
        <c:axId val="134428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56400"/>
        <c:crosses val="autoZero"/>
        <c:auto val="1"/>
        <c:lblAlgn val="ctr"/>
        <c:lblOffset val="100"/>
        <c:noMultiLvlLbl val="0"/>
      </c:catAx>
      <c:valAx>
        <c:axId val="13442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8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3D Graph Visualisation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Order!$B$1</c:f>
              <c:strCache>
                <c:ptCount val="1"/>
                <c:pt idx="0">
                  <c:v>Product Name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1-40D3-86FD-76798B917DBC}"/>
            </c:ext>
          </c:extLst>
        </c:ser>
        <c:ser>
          <c:idx val="1"/>
          <c:order val="1"/>
          <c:tx>
            <c:strRef>
              <c:f>Order!$C$1</c:f>
              <c:strCache>
                <c:ptCount val="1"/>
                <c:pt idx="0">
                  <c:v>Unit Price (₹)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Order!$C$2:$C$7</c:f>
              <c:numCache>
                <c:formatCode>General</c:formatCode>
                <c:ptCount val="6"/>
                <c:pt idx="0">
                  <c:v>500</c:v>
                </c:pt>
                <c:pt idx="1">
                  <c:v>750</c:v>
                </c:pt>
                <c:pt idx="2">
                  <c:v>1200</c:v>
                </c:pt>
                <c:pt idx="3">
                  <c:v>300</c:v>
                </c:pt>
                <c:pt idx="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1-40D3-86FD-76798B917DBC}"/>
            </c:ext>
          </c:extLst>
        </c:ser>
        <c:ser>
          <c:idx val="2"/>
          <c:order val="2"/>
          <c:tx>
            <c:strRef>
              <c:f>Order!$D$1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Order!$D$2:$D$7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1-40D3-86FD-76798B917DBC}"/>
            </c:ext>
          </c:extLst>
        </c:ser>
        <c:ser>
          <c:idx val="3"/>
          <c:order val="3"/>
          <c:tx>
            <c:strRef>
              <c:f>Order!$E$1</c:f>
              <c:strCache>
                <c:ptCount val="1"/>
                <c:pt idx="0">
                  <c:v>Discount %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Order!$E$2:$E$7</c:f>
              <c:numCache>
                <c:formatCode>0%</c:formatCode>
                <c:ptCount val="6"/>
                <c:pt idx="0">
                  <c:v>0.1</c:v>
                </c:pt>
                <c:pt idx="1">
                  <c:v>0.05</c:v>
                </c:pt>
                <c:pt idx="2">
                  <c:v>0.15</c:v>
                </c:pt>
                <c:pt idx="3">
                  <c:v>0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1-40D3-86FD-76798B917DBC}"/>
            </c:ext>
          </c:extLst>
        </c:ser>
        <c:ser>
          <c:idx val="4"/>
          <c:order val="4"/>
          <c:tx>
            <c:strRef>
              <c:f>Order!$F$1</c:f>
              <c:strCache>
                <c:ptCount val="1"/>
                <c:pt idx="0">
                  <c:v>GST %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Order!$F$2:$F$7</c:f>
              <c:numCache>
                <c:formatCode>0%</c:formatCode>
                <c:ptCount val="6"/>
                <c:pt idx="0">
                  <c:v>0.18</c:v>
                </c:pt>
                <c:pt idx="1">
                  <c:v>0.12</c:v>
                </c:pt>
                <c:pt idx="2">
                  <c:v>0.18</c:v>
                </c:pt>
                <c:pt idx="3">
                  <c:v>0.05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A1-40D3-86FD-76798B917DBC}"/>
            </c:ext>
          </c:extLst>
        </c:ser>
        <c:ser>
          <c:idx val="5"/>
          <c:order val="5"/>
          <c:tx>
            <c:strRef>
              <c:f>Order!$G$1</c:f>
              <c:strCache>
                <c:ptCount val="1"/>
                <c:pt idx="0">
                  <c:v>Gross Amount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Order!$G$2:$G$7</c:f>
              <c:numCache>
                <c:formatCode>_ [$₹-4009]\ * #,##0.00_ ;_ [$₹-4009]\ * \-#,##0.00_ ;_ [$₹-4009]\ * "-"??_ ;_ @_ </c:formatCode>
                <c:ptCount val="6"/>
                <c:pt idx="0">
                  <c:v>1000</c:v>
                </c:pt>
                <c:pt idx="1">
                  <c:v>750</c:v>
                </c:pt>
                <c:pt idx="2">
                  <c:v>3600</c:v>
                </c:pt>
                <c:pt idx="3">
                  <c:v>1500</c:v>
                </c:pt>
                <c:pt idx="4">
                  <c:v>1900</c:v>
                </c:pt>
                <c:pt idx="5">
                  <c:v>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A1-40D3-86FD-76798B917DBC}"/>
            </c:ext>
          </c:extLst>
        </c:ser>
        <c:ser>
          <c:idx val="6"/>
          <c:order val="6"/>
          <c:tx>
            <c:strRef>
              <c:f>Order!$H$1</c:f>
              <c:strCache>
                <c:ptCount val="1"/>
                <c:pt idx="0">
                  <c:v>Discount Amount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Order!$H$2:$H$7</c:f>
              <c:numCache>
                <c:formatCode>0.000</c:formatCode>
                <c:ptCount val="6"/>
                <c:pt idx="0">
                  <c:v>100</c:v>
                </c:pt>
                <c:pt idx="1">
                  <c:v>37.5</c:v>
                </c:pt>
                <c:pt idx="2">
                  <c:v>540</c:v>
                </c:pt>
                <c:pt idx="3">
                  <c:v>0</c:v>
                </c:pt>
                <c:pt idx="4">
                  <c:v>380</c:v>
                </c:pt>
                <c:pt idx="5">
                  <c:v>1057.5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A1-40D3-86FD-76798B917DBC}"/>
            </c:ext>
          </c:extLst>
        </c:ser>
        <c:ser>
          <c:idx val="7"/>
          <c:order val="7"/>
          <c:tx>
            <c:strRef>
              <c:f>Order!$I$1</c:f>
              <c:strCache>
                <c:ptCount val="1"/>
                <c:pt idx="0">
                  <c:v>Net Amount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Order!$I$2:$I$7</c:f>
              <c:numCache>
                <c:formatCode>0.000</c:formatCode>
                <c:ptCount val="6"/>
                <c:pt idx="0">
                  <c:v>900</c:v>
                </c:pt>
                <c:pt idx="1">
                  <c:v>712.5</c:v>
                </c:pt>
                <c:pt idx="2">
                  <c:v>3060</c:v>
                </c:pt>
                <c:pt idx="3">
                  <c:v>1500</c:v>
                </c:pt>
                <c:pt idx="4">
                  <c:v>1520</c:v>
                </c:pt>
                <c:pt idx="5">
                  <c:v>7692.5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A1-40D3-86FD-76798B917DBC}"/>
            </c:ext>
          </c:extLst>
        </c:ser>
        <c:ser>
          <c:idx val="8"/>
          <c:order val="8"/>
          <c:tx>
            <c:strRef>
              <c:f>Order!$J$1</c:f>
              <c:strCache>
                <c:ptCount val="1"/>
                <c:pt idx="0">
                  <c:v>GST Amount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Order!$J$2:$J$7</c:f>
              <c:numCache>
                <c:formatCode>0.000</c:formatCode>
                <c:ptCount val="6"/>
                <c:pt idx="0">
                  <c:v>162</c:v>
                </c:pt>
                <c:pt idx="1">
                  <c:v>85.5</c:v>
                </c:pt>
                <c:pt idx="2">
                  <c:v>550.79999999999995</c:v>
                </c:pt>
                <c:pt idx="3">
                  <c:v>75</c:v>
                </c:pt>
                <c:pt idx="4">
                  <c:v>182.4</c:v>
                </c:pt>
                <c:pt idx="5">
                  <c:v>1055.7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A1-40D3-86FD-76798B917DBC}"/>
            </c:ext>
          </c:extLst>
        </c:ser>
        <c:ser>
          <c:idx val="9"/>
          <c:order val="9"/>
          <c:tx>
            <c:strRef>
              <c:f>Order!$K$1</c:f>
              <c:strCache>
                <c:ptCount val="1"/>
                <c:pt idx="0">
                  <c:v>Total Price (₹)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strRef>
              <c:f>Order!$A$2:$A$7</c:f>
              <c:strCache>
                <c:ptCount val="6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TOTAL</c:v>
                </c:pt>
              </c:strCache>
            </c:strRef>
          </c:cat>
          <c:val>
            <c:numRef>
              <c:f>Order!$K$2:$K$7</c:f>
              <c:numCache>
                <c:formatCode>0.000</c:formatCode>
                <c:ptCount val="6"/>
                <c:pt idx="0">
                  <c:v>1062</c:v>
                </c:pt>
                <c:pt idx="1">
                  <c:v>798</c:v>
                </c:pt>
                <c:pt idx="2">
                  <c:v>3610.8</c:v>
                </c:pt>
                <c:pt idx="3">
                  <c:v>1575</c:v>
                </c:pt>
                <c:pt idx="4">
                  <c:v>1702.4</c:v>
                </c:pt>
                <c:pt idx="5">
                  <c:v>8748.2000000000007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A1-40D3-86FD-76798B917DB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344222800"/>
        <c:axId val="1344244400"/>
        <c:axId val="1188799728"/>
      </c:surface3DChart>
      <c:catAx>
        <c:axId val="134422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44400"/>
        <c:crosses val="autoZero"/>
        <c:auto val="1"/>
        <c:lblAlgn val="ctr"/>
        <c:lblOffset val="100"/>
        <c:noMultiLvlLbl val="0"/>
      </c:catAx>
      <c:valAx>
        <c:axId val="13442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22800"/>
        <c:crosses val="autoZero"/>
        <c:crossBetween val="midCat"/>
      </c:valAx>
      <c:serAx>
        <c:axId val="1188799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444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329963</xdr:colOff>
      <xdr:row>9</xdr:row>
      <xdr:rowOff>24544</xdr:rowOff>
    </xdr:from>
    <xdr:to>
      <xdr:col>5</xdr:col>
      <xdr:colOff>473680</xdr:colOff>
      <xdr:row>24</xdr:row>
      <xdr:rowOff>24544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4C086-2BF1-FAFF-4B1F-E734E59D1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98528</xdr:colOff>
      <xdr:row>9</xdr:row>
      <xdr:rowOff>24544</xdr:rowOff>
    </xdr:from>
    <xdr:to>
      <xdr:col>10</xdr:col>
      <xdr:colOff>632991</xdr:colOff>
      <xdr:row>24</xdr:row>
      <xdr:rowOff>24544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08C5E-7024-6F84-F1E2-62E5931B8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5FAA9-B799-4167-A22F-3D8D986809FE}" name="Table1" displayName="Table1" ref="A1:K7" totalsRowShown="0" headerRowDxfId="15" dataDxfId="14" headerRowBorderDxfId="12" tableBorderDxfId="13">
  <autoFilter ref="A1:K7" xr:uid="{9BA5FAA9-B799-4167-A22F-3D8D986809FE}"/>
  <tableColumns count="11">
    <tableColumn id="1" xr3:uid="{D990EB87-3A9E-430A-8AB4-C3315E04AD2F}" name="Product_ID" dataDxfId="11"/>
    <tableColumn id="2" xr3:uid="{F7993F96-08C2-428F-8619-8BA4E8FA97D0}" name="Product Name" dataDxfId="10"/>
    <tableColumn id="3" xr3:uid="{B9268ADE-BC29-4A67-B569-23E2A61A4803}" name="Unit Price (₹)" dataDxfId="9"/>
    <tableColumn id="4" xr3:uid="{2576A274-D767-46CC-96C9-60F337AEFF9C}" name="Quantity" dataDxfId="8"/>
    <tableColumn id="5" xr3:uid="{81A1E313-62B1-4DDD-AF92-7F4DBAECE265}" name="Discount %" dataDxfId="7"/>
    <tableColumn id="6" xr3:uid="{8A06328A-B1A0-45E8-B8C9-95336B72F661}" name="GST %" dataDxfId="6"/>
    <tableColumn id="7" xr3:uid="{9AA4868B-BEE5-40AB-AF3D-1D1B4FE48A50}" name="Gross Amount" dataDxfId="5"/>
    <tableColumn id="8" xr3:uid="{46E0FD3E-B3D6-439E-8567-6D4E44FF2EA4}" name="Discount Amount" dataDxfId="4"/>
    <tableColumn id="9" xr3:uid="{CBED5DB9-DB6A-4D6D-A7FB-E1B103387EF4}" name="Net Amount" dataDxfId="3"/>
    <tableColumn id="10" xr3:uid="{011E990D-63F3-4EAF-8961-A84CFBC96FF2}" name="GST Amount" dataDxfId="2"/>
    <tableColumn id="11" xr3:uid="{39AF9E3F-7734-4898-AD94-47EE0E527F14}" name="Total Price (₹)" dataDxfId="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87A56-FE2B-436B-A33B-18918392A99B}" name="Table4" displayName="Table4" ref="A1:D6" totalsRowShown="0">
  <autoFilter ref="A1:D6" xr:uid="{C4E87A56-FE2B-436B-A33B-18918392A99B}"/>
  <tableColumns count="4">
    <tableColumn id="1" xr3:uid="{84999899-9640-4F51-B258-1A26C140D0D8}" name="Product ID"/>
    <tableColumn id="2" xr3:uid="{403DF109-A72B-483D-B2DD-BB75E6F3B576}" name="Product Name" dataDxfId="17">
      <calculatedColumnFormula>VLOOKUP(A:A,Table1[#All],2,0)</calculatedColumnFormula>
    </tableColumn>
    <tableColumn id="3" xr3:uid="{359BF935-1EC0-4102-B84C-E093CEA083B9}" name="Order ID"/>
    <tableColumn id="4" xr3:uid="{4B66B670-BD7D-4689-AED0-8A24F82DDE09}" name="No. of Ord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97" workbookViewId="0">
      <selection activeCell="N15" sqref="N15"/>
    </sheetView>
  </sheetViews>
  <sheetFormatPr defaultRowHeight="14.4" x14ac:dyDescent="0.3"/>
  <cols>
    <col min="1" max="1" width="13.44140625" customWidth="1"/>
    <col min="2" max="2" width="15" customWidth="1"/>
    <col min="3" max="3" width="13.77734375" customWidth="1"/>
    <col min="4" max="4" width="10.21875" customWidth="1"/>
    <col min="5" max="5" width="12.109375" customWidth="1"/>
    <col min="7" max="7" width="14.77734375" customWidth="1"/>
    <col min="8" max="8" width="17.5546875" customWidth="1"/>
    <col min="9" max="9" width="13.21875" customWidth="1"/>
    <col min="10" max="10" width="13.44140625" customWidth="1"/>
    <col min="11" max="11" width="14.44140625" customWidth="1"/>
  </cols>
  <sheetData>
    <row r="1" spans="1:1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</row>
    <row r="2" spans="1:12" x14ac:dyDescent="0.3">
      <c r="A2" s="2" t="s">
        <v>10</v>
      </c>
      <c r="B2" s="2" t="s">
        <v>16</v>
      </c>
      <c r="C2" s="2">
        <v>500</v>
      </c>
      <c r="D2" s="2">
        <v>2</v>
      </c>
      <c r="E2" s="6">
        <v>0.1</v>
      </c>
      <c r="F2" s="6">
        <v>0.18</v>
      </c>
      <c r="G2" s="7">
        <f>C2*D2</f>
        <v>1000</v>
      </c>
      <c r="H2" s="4">
        <f>G2*E2</f>
        <v>100</v>
      </c>
      <c r="I2" s="4">
        <f>G2-H2</f>
        <v>900</v>
      </c>
      <c r="J2" s="4">
        <f>F2*(I2)</f>
        <v>162</v>
      </c>
      <c r="K2" s="4">
        <f>I2+J2</f>
        <v>1062</v>
      </c>
      <c r="L2" s="4"/>
    </row>
    <row r="3" spans="1:12" x14ac:dyDescent="0.3">
      <c r="A3" s="2" t="s">
        <v>11</v>
      </c>
      <c r="B3" s="2" t="s">
        <v>17</v>
      </c>
      <c r="C3" s="2">
        <v>750</v>
      </c>
      <c r="D3" s="2">
        <v>1</v>
      </c>
      <c r="E3" s="6">
        <v>0.05</v>
      </c>
      <c r="F3" s="6">
        <v>0.12</v>
      </c>
      <c r="G3" s="7">
        <f>C3*D3</f>
        <v>750</v>
      </c>
      <c r="H3" s="4">
        <f t="shared" ref="H3:H6" si="0">G3*E3</f>
        <v>37.5</v>
      </c>
      <c r="I3" s="4">
        <f>G3-H3</f>
        <v>712.5</v>
      </c>
      <c r="J3" s="4">
        <f t="shared" ref="J3:J6" si="1">F3*(I3)</f>
        <v>85.5</v>
      </c>
      <c r="K3" s="4">
        <f>I3+J3</f>
        <v>798</v>
      </c>
      <c r="L3" s="4"/>
    </row>
    <row r="4" spans="1:12" x14ac:dyDescent="0.3">
      <c r="A4" s="2" t="s">
        <v>12</v>
      </c>
      <c r="B4" s="2" t="s">
        <v>18</v>
      </c>
      <c r="C4" s="2">
        <v>1200</v>
      </c>
      <c r="D4" s="2">
        <v>3</v>
      </c>
      <c r="E4" s="6">
        <v>0.15</v>
      </c>
      <c r="F4" s="6">
        <v>0.18</v>
      </c>
      <c r="G4" s="7">
        <f>C4*D4</f>
        <v>3600</v>
      </c>
      <c r="H4" s="4">
        <f t="shared" si="0"/>
        <v>540</v>
      </c>
      <c r="I4" s="4">
        <f>G4-H4</f>
        <v>3060</v>
      </c>
      <c r="J4" s="4">
        <f t="shared" si="1"/>
        <v>550.79999999999995</v>
      </c>
      <c r="K4" s="4">
        <f>I4+J4</f>
        <v>3610.8</v>
      </c>
      <c r="L4" s="4"/>
    </row>
    <row r="5" spans="1:12" x14ac:dyDescent="0.3">
      <c r="A5" s="2" t="s">
        <v>13</v>
      </c>
      <c r="B5" s="2" t="s">
        <v>19</v>
      </c>
      <c r="C5" s="2">
        <v>300</v>
      </c>
      <c r="D5" s="2">
        <v>5</v>
      </c>
      <c r="E5" s="6">
        <v>0</v>
      </c>
      <c r="F5" s="6">
        <v>0.05</v>
      </c>
      <c r="G5" s="7">
        <f>C5*D5</f>
        <v>1500</v>
      </c>
      <c r="H5" s="4">
        <f t="shared" si="0"/>
        <v>0</v>
      </c>
      <c r="I5" s="4">
        <f>G5-H5</f>
        <v>1500</v>
      </c>
      <c r="J5" s="4">
        <f t="shared" si="1"/>
        <v>75</v>
      </c>
      <c r="K5" s="4">
        <f>I5+J5</f>
        <v>1575</v>
      </c>
      <c r="L5" s="4"/>
    </row>
    <row r="6" spans="1:12" x14ac:dyDescent="0.3">
      <c r="A6" s="2" t="s">
        <v>14</v>
      </c>
      <c r="B6" s="2" t="s">
        <v>20</v>
      </c>
      <c r="C6" s="2">
        <v>950</v>
      </c>
      <c r="D6" s="2">
        <v>2</v>
      </c>
      <c r="E6" s="6">
        <v>0.2</v>
      </c>
      <c r="F6" s="6">
        <v>0.12</v>
      </c>
      <c r="G6" s="7">
        <f>C6*D6</f>
        <v>1900</v>
      </c>
      <c r="H6" s="4">
        <f t="shared" si="0"/>
        <v>380</v>
      </c>
      <c r="I6" s="4">
        <f>G6-H6</f>
        <v>1520</v>
      </c>
      <c r="J6" s="4">
        <f t="shared" si="1"/>
        <v>182.4</v>
      </c>
      <c r="K6" s="4">
        <f>I6+J6</f>
        <v>1702.4</v>
      </c>
      <c r="L6" s="4"/>
    </row>
    <row r="7" spans="1:12" x14ac:dyDescent="0.3">
      <c r="A7" s="3" t="s">
        <v>15</v>
      </c>
      <c r="B7" s="3"/>
      <c r="C7" s="3"/>
      <c r="D7" s="3"/>
      <c r="E7" s="3"/>
      <c r="F7" s="3"/>
      <c r="G7" s="8">
        <f>SUM(G2:G6)</f>
        <v>8750</v>
      </c>
      <c r="H7" s="5">
        <f>SUM(H2:H6)</f>
        <v>1057.5</v>
      </c>
      <c r="I7" s="5">
        <f>SUM(I2:I6)</f>
        <v>7692.5</v>
      </c>
      <c r="J7" s="5">
        <f>SUM(J2:J6)</f>
        <v>1055.7</v>
      </c>
      <c r="K7" s="5">
        <f>SUM(K2:K6)</f>
        <v>8748.2000000000007</v>
      </c>
      <c r="L7" s="4"/>
    </row>
    <row r="9" spans="1:12" x14ac:dyDescent="0.3">
      <c r="H9" s="9" t="s">
        <v>25</v>
      </c>
      <c r="I9" s="10">
        <f>MAX(J2:J6)</f>
        <v>550.79999999999995</v>
      </c>
    </row>
  </sheetData>
  <conditionalFormatting sqref="H2:H7">
    <cfRule type="cellIs" dxfId="0" priority="1" operator="equal">
      <formula>0</formula>
    </cfRule>
  </conditionalFormatting>
  <dataValidations count="4">
    <dataValidation type="list" allowBlank="1" showInputMessage="1" showErrorMessage="1" sqref="F2:F6" xr:uid="{CB42CAA8-079E-4119-B345-96930E819A4D}">
      <formula1>"0.18, 0.12, 0.05"</formula1>
    </dataValidation>
    <dataValidation type="list" allowBlank="1" showInputMessage="1" showErrorMessage="1" sqref="E5:E6 E2" xr:uid="{EE0CB95B-78DC-49C9-8011-E2F2DF2BD03B}">
      <formula1>"0.10, 0.5, 0.15, 0, 0.20"</formula1>
    </dataValidation>
    <dataValidation type="list" allowBlank="1" showInputMessage="1" showErrorMessage="1" sqref="E4" xr:uid="{B3D8162F-2B0E-4E0A-B184-4D48CEAEDB44}">
      <formula1>"0.10, 00.5, 0.15, 0, 0.20"</formula1>
    </dataValidation>
    <dataValidation type="list" allowBlank="1" showInputMessage="1" showErrorMessage="1" sqref="E3" xr:uid="{136D0057-D6A8-435A-858B-41702029F118}">
      <formula1>"0.10, 0.05, 0.15, 0, 0.20"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48ED-38D2-4D73-B230-29B4934D835A}">
  <dimension ref="A1:D6"/>
  <sheetViews>
    <sheetView zoomScale="118" workbookViewId="0">
      <selection activeCell="I4" sqref="I4"/>
    </sheetView>
  </sheetViews>
  <sheetFormatPr defaultRowHeight="14.4" x14ac:dyDescent="0.3"/>
  <cols>
    <col min="1" max="3" width="10.44140625" customWidth="1"/>
    <col min="4" max="4" width="13.88671875" customWidth="1"/>
  </cols>
  <sheetData>
    <row r="1" spans="1:4" x14ac:dyDescent="0.3">
      <c r="A1" t="s">
        <v>23</v>
      </c>
      <c r="B1" t="s">
        <v>0</v>
      </c>
      <c r="C1" t="s">
        <v>22</v>
      </c>
      <c r="D1" t="s">
        <v>24</v>
      </c>
    </row>
    <row r="2" spans="1:4" x14ac:dyDescent="0.3">
      <c r="A2" t="s">
        <v>10</v>
      </c>
      <c r="B2" t="str">
        <f>VLOOKUP(A:A,Table1[#All],2,0)</f>
        <v>Sunglasses</v>
      </c>
      <c r="C2">
        <v>1</v>
      </c>
      <c r="D2">
        <v>35</v>
      </c>
    </row>
    <row r="3" spans="1:4" x14ac:dyDescent="0.3">
      <c r="A3" t="s">
        <v>11</v>
      </c>
      <c r="B3" t="str">
        <f>VLOOKUP(A:A,Table1[#All],2,0)</f>
        <v>Perfume</v>
      </c>
      <c r="C3">
        <v>2</v>
      </c>
      <c r="D3">
        <v>40</v>
      </c>
    </row>
    <row r="4" spans="1:4" x14ac:dyDescent="0.3">
      <c r="A4" t="s">
        <v>12</v>
      </c>
      <c r="B4" t="str">
        <f>VLOOKUP(A:A,Table1[#All],2,0)</f>
        <v>Jacket</v>
      </c>
      <c r="C4">
        <v>3</v>
      </c>
      <c r="D4">
        <v>25</v>
      </c>
    </row>
    <row r="5" spans="1:4" x14ac:dyDescent="0.3">
      <c r="A5" t="s">
        <v>13</v>
      </c>
      <c r="B5" t="str">
        <f>VLOOKUP(A:A,Table1[#All],2,0)</f>
        <v>Black Jeans</v>
      </c>
      <c r="C5">
        <v>4</v>
      </c>
      <c r="D5">
        <v>3</v>
      </c>
    </row>
    <row r="6" spans="1:4" x14ac:dyDescent="0.3">
      <c r="A6" t="s">
        <v>14</v>
      </c>
      <c r="B6" t="str">
        <f>VLOOKUP(A:A,Table1[#All],2,0)</f>
        <v>White Sweatshirt</v>
      </c>
      <c r="C6">
        <v>5</v>
      </c>
      <c r="D6">
        <v>30</v>
      </c>
    </row>
  </sheetData>
  <phoneticPr fontId="2" type="noConversion"/>
  <conditionalFormatting sqref="D2:D6">
    <cfRule type="cellIs" dxfId="16" priority="1" operator="lessThan">
      <formula>10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Aaliya</dc:creator>
  <cp:lastModifiedBy>Aaliya Ali</cp:lastModifiedBy>
  <dcterms:created xsi:type="dcterms:W3CDTF">2025-09-30T14:02:03Z</dcterms:created>
  <dcterms:modified xsi:type="dcterms:W3CDTF">2025-10-07T15:30:22Z</dcterms:modified>
</cp:coreProperties>
</file>